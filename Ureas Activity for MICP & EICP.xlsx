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y research\excel files\"/>
    </mc:Choice>
  </mc:AlternateContent>
  <xr:revisionPtr revIDLastSave="0" documentId="8_{7045EE36-32EE-488A-9CE7-077DEB4C99C5}" xr6:coauthVersionLast="36" xr6:coauthVersionMax="36" xr10:uidLastSave="{00000000-0000-0000-0000-000000000000}"/>
  <bookViews>
    <workbookView xWindow="0" yWindow="0" windowWidth="23040" windowHeight="8940" xr2:uid="{5B98D28D-267D-4FB0-A7A5-C376920C5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7" i="1" l="1"/>
  <c r="K8" i="1"/>
  <c r="K4" i="1"/>
  <c r="K3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7" i="1"/>
  <c r="K6" i="1"/>
  <c r="K5" i="1"/>
  <c r="C11" i="1"/>
  <c r="C10" i="1"/>
  <c r="C9" i="1"/>
  <c r="C8" i="1"/>
  <c r="C7" i="1"/>
  <c r="D3" i="1"/>
  <c r="D13" i="1" s="1"/>
</calcChain>
</file>

<file path=xl/sharedStrings.xml><?xml version="1.0" encoding="utf-8"?>
<sst xmlns="http://schemas.openxmlformats.org/spreadsheetml/2006/main" count="14" uniqueCount="11">
  <si>
    <t>NO</t>
  </si>
  <si>
    <t>PH</t>
  </si>
  <si>
    <t>Temprature</t>
  </si>
  <si>
    <t>OD600(s.p)</t>
  </si>
  <si>
    <t>Urease Activity</t>
  </si>
  <si>
    <t>UA for 1OD600</t>
  </si>
  <si>
    <t>Urease activity of  bacteria</t>
  </si>
  <si>
    <t>Urease activity of plant powder</t>
  </si>
  <si>
    <t>soybean powder</t>
  </si>
  <si>
    <t>Urease Activity/g of powder</t>
  </si>
  <si>
    <t>Average 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</si>
</sst>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u val="double"/>
      <sz val="12"/>
      <color theme="1"/>
      <name val="Cambria"/>
      <family val="1"/>
    </font>
    <font>
      <b/>
      <sz val="12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166" fontId="3" fillId="2" borderId="1" xfId="0" applyNumberFormat="1" applyFont="1" applyFill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2" fillId="0" borderId="0" xfId="0" applyFont="1"/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5C20-4FAB-403C-BFF9-01A5C9E0C047}">
  <dimension ref="A1:K28"/>
  <sheetViews>
    <sheetView tabSelected="1" topLeftCell="A4" workbookViewId="0">
      <selection activeCell="E12" sqref="E12"/>
    </sheetView>
  </sheetViews>
  <sheetFormatPr defaultRowHeight="15" x14ac:dyDescent="0.25"/>
  <cols>
    <col min="1" max="2" width="8.88671875" style="13"/>
    <col min="3" max="3" width="13.21875" style="13" customWidth="1"/>
    <col min="4" max="9" width="8.88671875" style="13"/>
    <col min="10" max="10" width="13.44140625" style="13" customWidth="1"/>
    <col min="11" max="11" width="17.109375" style="13" customWidth="1"/>
    <col min="12" max="16384" width="8.88671875" style="13"/>
  </cols>
  <sheetData>
    <row r="1" spans="1:11" ht="33.6" customHeight="1" x14ac:dyDescent="0.25">
      <c r="A1" s="17" t="s">
        <v>6</v>
      </c>
      <c r="B1" s="17"/>
      <c r="C1" s="17"/>
      <c r="D1" s="17"/>
      <c r="E1" s="6"/>
      <c r="F1" s="17" t="s">
        <v>7</v>
      </c>
      <c r="G1" s="17"/>
      <c r="H1" s="17"/>
      <c r="I1" s="17"/>
      <c r="J1" s="17"/>
      <c r="K1" s="17"/>
    </row>
    <row r="2" spans="1:11" ht="57" customHeight="1" x14ac:dyDescent="0.25">
      <c r="A2" s="14" t="s">
        <v>0</v>
      </c>
      <c r="B2" s="15" t="s">
        <v>3</v>
      </c>
      <c r="C2" s="15" t="s">
        <v>4</v>
      </c>
      <c r="D2" s="15" t="s">
        <v>5</v>
      </c>
      <c r="F2" s="14" t="s">
        <v>0</v>
      </c>
      <c r="G2" s="15" t="s">
        <v>1</v>
      </c>
      <c r="H2" s="15" t="s">
        <v>2</v>
      </c>
      <c r="I2" s="15" t="s">
        <v>8</v>
      </c>
      <c r="J2" s="15" t="s">
        <v>4</v>
      </c>
      <c r="K2" s="15" t="s">
        <v>9</v>
      </c>
    </row>
    <row r="3" spans="1:11" x14ac:dyDescent="0.25">
      <c r="A3" s="1">
        <v>1</v>
      </c>
      <c r="B3" s="1">
        <v>1.1000000000000001</v>
      </c>
      <c r="C3" s="1">
        <v>3.44</v>
      </c>
      <c r="D3" s="2">
        <f>C3/B3</f>
        <v>3.127272727272727</v>
      </c>
      <c r="F3" s="1">
        <v>1</v>
      </c>
      <c r="G3" s="1">
        <v>7.3</v>
      </c>
      <c r="H3" s="1">
        <v>30</v>
      </c>
      <c r="I3" s="1">
        <v>30</v>
      </c>
      <c r="J3" s="1">
        <v>2.5</v>
      </c>
      <c r="K3" s="4">
        <f>J3/I3</f>
        <v>8.3333333333333329E-2</v>
      </c>
    </row>
    <row r="4" spans="1:11" x14ac:dyDescent="0.25">
      <c r="A4" s="1">
        <v>2</v>
      </c>
      <c r="B4" s="1">
        <v>0.86</v>
      </c>
      <c r="C4" s="1">
        <v>6.77</v>
      </c>
      <c r="D4" s="2">
        <v>7.87</v>
      </c>
      <c r="F4" s="1">
        <v>2</v>
      </c>
      <c r="G4" s="1">
        <v>7</v>
      </c>
      <c r="H4" s="1">
        <v>25</v>
      </c>
      <c r="I4" s="1">
        <v>60</v>
      </c>
      <c r="J4" s="1">
        <v>6.67</v>
      </c>
      <c r="K4" s="4">
        <f>J4/I4</f>
        <v>0.11116666666666666</v>
      </c>
    </row>
    <row r="5" spans="1:11" x14ac:dyDescent="0.25">
      <c r="A5" s="1">
        <v>3</v>
      </c>
      <c r="B5" s="1">
        <v>2</v>
      </c>
      <c r="C5" s="1">
        <v>20</v>
      </c>
      <c r="D5" s="2">
        <v>10</v>
      </c>
      <c r="F5" s="1">
        <v>3</v>
      </c>
      <c r="G5" s="1">
        <v>7</v>
      </c>
      <c r="H5" s="1">
        <v>20</v>
      </c>
      <c r="I5" s="1">
        <v>200</v>
      </c>
      <c r="J5" s="1">
        <v>24.9</v>
      </c>
      <c r="K5" s="4">
        <f t="shared" ref="K4:K26" si="0">J5/I5</f>
        <v>0.1245</v>
      </c>
    </row>
    <row r="6" spans="1:11" x14ac:dyDescent="0.25">
      <c r="A6" s="1">
        <v>4</v>
      </c>
      <c r="B6" s="1">
        <v>1.51</v>
      </c>
      <c r="C6" s="1">
        <v>10.1</v>
      </c>
      <c r="D6" s="2">
        <v>6.7</v>
      </c>
      <c r="F6" s="1">
        <v>4</v>
      </c>
      <c r="G6" s="1">
        <v>7.5</v>
      </c>
      <c r="H6" s="1">
        <v>20</v>
      </c>
      <c r="I6" s="1">
        <v>10</v>
      </c>
      <c r="J6" s="1">
        <v>1.75</v>
      </c>
      <c r="K6" s="4">
        <f t="shared" si="0"/>
        <v>0.17499999999999999</v>
      </c>
    </row>
    <row r="7" spans="1:11" x14ac:dyDescent="0.25">
      <c r="A7" s="1">
        <v>5</v>
      </c>
      <c r="B7" s="1">
        <v>0.3</v>
      </c>
      <c r="C7" s="1">
        <f>B7*D7</f>
        <v>1.143</v>
      </c>
      <c r="D7" s="1">
        <v>3.81</v>
      </c>
      <c r="F7" s="1">
        <v>5</v>
      </c>
      <c r="G7" s="1">
        <v>7.5</v>
      </c>
      <c r="H7" s="1">
        <v>20</v>
      </c>
      <c r="I7" s="3">
        <v>20</v>
      </c>
      <c r="J7" s="3">
        <v>2.5</v>
      </c>
      <c r="K7" s="4">
        <f t="shared" si="0"/>
        <v>0.125</v>
      </c>
    </row>
    <row r="8" spans="1:11" x14ac:dyDescent="0.25">
      <c r="A8" s="1">
        <v>6</v>
      </c>
      <c r="B8" s="1">
        <v>0.6</v>
      </c>
      <c r="C8" s="1">
        <f t="shared" ref="C8:C10" si="1">B8*D8</f>
        <v>3.3119999999999998</v>
      </c>
      <c r="D8" s="1">
        <v>5.52</v>
      </c>
      <c r="F8" s="1">
        <v>6</v>
      </c>
      <c r="G8" s="1">
        <v>7.5</v>
      </c>
      <c r="H8" s="1">
        <v>20</v>
      </c>
      <c r="I8" s="3">
        <v>30</v>
      </c>
      <c r="J8" s="3">
        <v>3.5</v>
      </c>
      <c r="K8" s="4">
        <f>J8/I8</f>
        <v>0.11666666666666667</v>
      </c>
    </row>
    <row r="9" spans="1:11" x14ac:dyDescent="0.25">
      <c r="A9" s="1">
        <v>7</v>
      </c>
      <c r="B9" s="1">
        <v>0.9</v>
      </c>
      <c r="C9" s="1">
        <f t="shared" si="1"/>
        <v>5.2649999999999997</v>
      </c>
      <c r="D9" s="1">
        <v>5.85</v>
      </c>
      <c r="F9" s="1">
        <v>7</v>
      </c>
      <c r="G9" s="1">
        <v>7.5</v>
      </c>
      <c r="H9" s="1">
        <v>20</v>
      </c>
      <c r="I9" s="3">
        <v>40</v>
      </c>
      <c r="J9" s="3">
        <v>6.9</v>
      </c>
      <c r="K9" s="4">
        <f t="shared" si="0"/>
        <v>0.17250000000000001</v>
      </c>
    </row>
    <row r="10" spans="1:11" x14ac:dyDescent="0.25">
      <c r="A10" s="1">
        <v>8</v>
      </c>
      <c r="B10" s="1">
        <v>1.2</v>
      </c>
      <c r="C10" s="1">
        <f t="shared" si="1"/>
        <v>6.8999999999999995</v>
      </c>
      <c r="D10" s="1">
        <v>5.75</v>
      </c>
      <c r="F10" s="1">
        <v>8</v>
      </c>
      <c r="G10" s="1">
        <v>7.5</v>
      </c>
      <c r="H10" s="3">
        <v>25</v>
      </c>
      <c r="I10" s="3">
        <v>10</v>
      </c>
      <c r="J10" s="3">
        <v>3.1</v>
      </c>
      <c r="K10" s="4">
        <f t="shared" si="0"/>
        <v>0.31</v>
      </c>
    </row>
    <row r="11" spans="1:11" x14ac:dyDescent="0.25">
      <c r="A11" s="1">
        <v>9</v>
      </c>
      <c r="B11" s="3">
        <v>1.5</v>
      </c>
      <c r="C11" s="1">
        <f>B11*D11</f>
        <v>8.8500000000000014</v>
      </c>
      <c r="D11" s="3">
        <v>5.9</v>
      </c>
      <c r="F11" s="1">
        <v>9</v>
      </c>
      <c r="G11" s="1">
        <v>7.5</v>
      </c>
      <c r="H11" s="3">
        <v>25</v>
      </c>
      <c r="I11" s="3">
        <v>20</v>
      </c>
      <c r="J11" s="3">
        <v>7.5</v>
      </c>
      <c r="K11" s="4">
        <f t="shared" si="0"/>
        <v>0.375</v>
      </c>
    </row>
    <row r="12" spans="1:11" x14ac:dyDescent="0.25">
      <c r="A12" s="1">
        <v>10</v>
      </c>
      <c r="B12" s="3">
        <v>3.1</v>
      </c>
      <c r="C12" s="1">
        <v>18.100000000000001</v>
      </c>
      <c r="D12" s="3">
        <v>5.8</v>
      </c>
      <c r="F12" s="1">
        <v>10</v>
      </c>
      <c r="G12" s="1">
        <v>7.5</v>
      </c>
      <c r="H12" s="3">
        <v>25</v>
      </c>
      <c r="I12" s="3">
        <v>30</v>
      </c>
      <c r="J12" s="3">
        <v>8.1999999999999993</v>
      </c>
      <c r="K12" s="4">
        <f t="shared" si="0"/>
        <v>0.27333333333333332</v>
      </c>
    </row>
    <row r="13" spans="1:11" x14ac:dyDescent="0.25">
      <c r="C13" s="16" t="s">
        <v>10</v>
      </c>
      <c r="D13" s="5">
        <f>AVERAGE(D3:D12)</f>
        <v>6.0327272727272723</v>
      </c>
      <c r="F13" s="1">
        <v>11</v>
      </c>
      <c r="G13" s="1">
        <v>7.5</v>
      </c>
      <c r="H13" s="3">
        <v>25</v>
      </c>
      <c r="I13" s="3">
        <v>40</v>
      </c>
      <c r="J13" s="3">
        <v>9.1999999999999993</v>
      </c>
      <c r="K13" s="4">
        <f t="shared" si="0"/>
        <v>0.22999999999999998</v>
      </c>
    </row>
    <row r="14" spans="1:11" x14ac:dyDescent="0.25">
      <c r="F14" s="1">
        <v>12</v>
      </c>
      <c r="G14" s="1">
        <v>7.5</v>
      </c>
      <c r="H14" s="3">
        <v>25</v>
      </c>
      <c r="I14" s="3">
        <v>50</v>
      </c>
      <c r="J14" s="3">
        <v>10.1</v>
      </c>
      <c r="K14" s="4">
        <f t="shared" si="0"/>
        <v>0.20199999999999999</v>
      </c>
    </row>
    <row r="15" spans="1:11" x14ac:dyDescent="0.25">
      <c r="F15" s="1">
        <v>13</v>
      </c>
      <c r="G15" s="1">
        <v>7.5</v>
      </c>
      <c r="H15" s="3">
        <v>25</v>
      </c>
      <c r="I15" s="3">
        <v>60</v>
      </c>
      <c r="J15" s="3">
        <v>13.95</v>
      </c>
      <c r="K15" s="4">
        <f t="shared" si="0"/>
        <v>0.23249999999999998</v>
      </c>
    </row>
    <row r="16" spans="1:11" x14ac:dyDescent="0.25">
      <c r="F16" s="1">
        <v>14</v>
      </c>
      <c r="G16" s="1">
        <v>7.5</v>
      </c>
      <c r="H16" s="3">
        <v>25</v>
      </c>
      <c r="I16" s="3">
        <v>70</v>
      </c>
      <c r="J16" s="3">
        <v>16.2</v>
      </c>
      <c r="K16" s="4">
        <f t="shared" si="0"/>
        <v>0.23142857142857143</v>
      </c>
    </row>
    <row r="17" spans="6:11" x14ac:dyDescent="0.25">
      <c r="F17" s="1">
        <v>15</v>
      </c>
      <c r="G17" s="1">
        <v>7.5</v>
      </c>
      <c r="H17" s="3">
        <v>25</v>
      </c>
      <c r="I17" s="3">
        <v>80</v>
      </c>
      <c r="J17" s="3">
        <v>17.5</v>
      </c>
      <c r="K17" s="4">
        <f t="shared" si="0"/>
        <v>0.21875</v>
      </c>
    </row>
    <row r="18" spans="6:11" x14ac:dyDescent="0.25">
      <c r="F18" s="1">
        <v>16</v>
      </c>
      <c r="G18" s="1">
        <v>7.5</v>
      </c>
      <c r="H18" s="3">
        <v>25</v>
      </c>
      <c r="I18" s="3">
        <v>90</v>
      </c>
      <c r="J18" s="3">
        <v>20.100000000000001</v>
      </c>
      <c r="K18" s="4">
        <f t="shared" si="0"/>
        <v>0.22333333333333336</v>
      </c>
    </row>
    <row r="19" spans="6:11" x14ac:dyDescent="0.25">
      <c r="F19" s="1">
        <v>17</v>
      </c>
      <c r="G19" s="1">
        <v>7.5</v>
      </c>
      <c r="H19" s="3">
        <v>25</v>
      </c>
      <c r="I19" s="3">
        <v>100</v>
      </c>
      <c r="J19" s="3">
        <v>22.23</v>
      </c>
      <c r="K19" s="4">
        <f t="shared" si="0"/>
        <v>0.2223</v>
      </c>
    </row>
    <row r="20" spans="6:11" x14ac:dyDescent="0.25">
      <c r="F20" s="1">
        <v>18</v>
      </c>
      <c r="G20" s="1">
        <v>7.5</v>
      </c>
      <c r="H20" s="3">
        <v>25</v>
      </c>
      <c r="I20" s="3">
        <v>150</v>
      </c>
      <c r="J20" s="3">
        <v>27.5</v>
      </c>
      <c r="K20" s="4">
        <f t="shared" si="0"/>
        <v>0.18333333333333332</v>
      </c>
    </row>
    <row r="21" spans="6:11" x14ac:dyDescent="0.25">
      <c r="F21" s="1">
        <v>19</v>
      </c>
      <c r="G21" s="1">
        <v>7.5</v>
      </c>
      <c r="H21" s="3">
        <v>25</v>
      </c>
      <c r="I21" s="3">
        <v>200</v>
      </c>
      <c r="J21" s="3">
        <v>32.5</v>
      </c>
      <c r="K21" s="4">
        <f t="shared" si="0"/>
        <v>0.16250000000000001</v>
      </c>
    </row>
    <row r="22" spans="6:11" x14ac:dyDescent="0.25">
      <c r="F22" s="1">
        <v>20</v>
      </c>
      <c r="G22" s="3">
        <v>6</v>
      </c>
      <c r="H22" s="3">
        <v>20</v>
      </c>
      <c r="I22" s="3">
        <v>20</v>
      </c>
      <c r="J22" s="3">
        <v>2.5</v>
      </c>
      <c r="K22" s="4">
        <f t="shared" si="0"/>
        <v>0.125</v>
      </c>
    </row>
    <row r="23" spans="6:11" x14ac:dyDescent="0.25">
      <c r="F23" s="1">
        <v>21</v>
      </c>
      <c r="G23" s="3">
        <v>6</v>
      </c>
      <c r="H23" s="3">
        <v>20</v>
      </c>
      <c r="I23" s="3">
        <v>40</v>
      </c>
      <c r="J23" s="3">
        <v>4.4000000000000004</v>
      </c>
      <c r="K23" s="4">
        <f t="shared" si="0"/>
        <v>0.11000000000000001</v>
      </c>
    </row>
    <row r="24" spans="6:11" x14ac:dyDescent="0.25">
      <c r="F24" s="1">
        <v>22</v>
      </c>
      <c r="G24" s="3">
        <v>6</v>
      </c>
      <c r="H24" s="3">
        <v>20</v>
      </c>
      <c r="I24" s="3">
        <v>60</v>
      </c>
      <c r="J24" s="3">
        <v>6</v>
      </c>
      <c r="K24" s="4">
        <f t="shared" si="0"/>
        <v>0.1</v>
      </c>
    </row>
    <row r="25" spans="6:11" x14ac:dyDescent="0.25">
      <c r="F25" s="1">
        <v>23</v>
      </c>
      <c r="G25" s="3">
        <v>6</v>
      </c>
      <c r="H25" s="3">
        <v>20</v>
      </c>
      <c r="I25" s="3">
        <v>80</v>
      </c>
      <c r="J25" s="3">
        <v>8</v>
      </c>
      <c r="K25" s="4">
        <f t="shared" si="0"/>
        <v>0.1</v>
      </c>
    </row>
    <row r="26" spans="6:11" x14ac:dyDescent="0.25">
      <c r="F26" s="1">
        <v>24</v>
      </c>
      <c r="G26" s="3">
        <v>6</v>
      </c>
      <c r="H26" s="3">
        <v>20</v>
      </c>
      <c r="I26" s="3">
        <v>100</v>
      </c>
      <c r="J26" s="3">
        <v>9.8000000000000007</v>
      </c>
      <c r="K26" s="4">
        <f t="shared" si="0"/>
        <v>9.8000000000000004E-2</v>
      </c>
    </row>
    <row r="27" spans="6:11" x14ac:dyDescent="0.25">
      <c r="F27" s="7"/>
      <c r="G27" s="8"/>
      <c r="H27" s="8"/>
      <c r="I27" s="9"/>
      <c r="J27" s="10" t="s">
        <v>10</v>
      </c>
      <c r="K27" s="11">
        <f>AVERAGE(K3:K26)</f>
        <v>0.17940188492063489</v>
      </c>
    </row>
    <row r="28" spans="6:11" x14ac:dyDescent="0.25">
      <c r="F28" s="7"/>
      <c r="G28" s="8"/>
      <c r="H28" s="8"/>
      <c r="I28" s="8"/>
      <c r="J28" s="8"/>
      <c r="K28" s="12"/>
    </row>
  </sheetData>
  <mergeCells count="2">
    <mergeCell ref="A1:D1"/>
    <mergeCell ref="F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</dc:creator>
  <cp:lastModifiedBy>LIFE</cp:lastModifiedBy>
  <dcterms:created xsi:type="dcterms:W3CDTF">2025-10-27T10:47:37Z</dcterms:created>
  <dcterms:modified xsi:type="dcterms:W3CDTF">2025-10-27T10:56:23Z</dcterms:modified>
</cp:coreProperties>
</file>